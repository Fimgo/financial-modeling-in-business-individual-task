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P&amp;L" sheetId="4" state="visible" r:id="rId4"/>
    <sheet xmlns:r="http://schemas.openxmlformats.org/officeDocument/2006/relationships" name="Break-even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Charts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Sources" sheetId="9" state="visible" r:id="rId9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</font>
    <font>
      <b val="1"/>
      <color rgb="00FFFFFF"/>
    </font>
    <font>
      <color rgb="000000FF"/>
    </font>
    <font>
      <color rgb="00008000"/>
    </font>
    <font>
      <name val="Calibri"/>
      <family val="2"/>
      <color theme="10"/>
      <sz val="12"/>
      <scheme val="minor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7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164" fontId="5" fillId="4" borderId="1" applyAlignment="1" pivotButton="0" quotePrefix="0" xfId="0">
      <alignment vertical="center"/>
    </xf>
    <xf numFmtId="164" fontId="6" fillId="0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164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4" fontId="3" fillId="6" borderId="1" applyAlignment="1" pivotButton="0" quotePrefix="0" xfId="0">
      <alignment vertical="center"/>
    </xf>
    <xf numFmtId="165" fontId="6" fillId="0" borderId="1" applyAlignment="1" pivotButton="0" quotePrefix="0" xfId="0">
      <alignment vertical="center"/>
    </xf>
    <xf numFmtId="164" fontId="4" fillId="2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Dynamics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'P&amp;L'!$B$3:$G$3</f>
            </numRef>
          </cat>
          <val>
            <numRef>
              <f>'P&amp;L'!$B$4:$G$4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Operating Income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'P&amp;L'!$B$3:$G$3</f>
            </numRef>
          </cat>
          <val>
            <numRef>
              <f>'P&amp;L'!$B$13:$G$13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Operating Margin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'P&amp;L'!$B$3:$G$3</f>
            </numRef>
          </cat>
          <val>
            <numRef>
              <f>'P&amp;L'!$B$14:$G$14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Total Operating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'P&amp;L'!B4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'P&amp;L'!$B$3:$G$3</f>
            </numRef>
          </cat>
          <val>
            <numRef>
              <f>'P&amp;L'!$C$4:$G$4</f>
            </numRef>
          </val>
        </ser>
        <ser>
          <idx val="1"/>
          <order val="1"/>
          <tx>
            <strRef>
              <f>'P&amp;L'!B5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'P&amp;L'!$B$3:$G$3</f>
            </numRef>
          </cat>
          <val>
            <numRef>
              <f>'P&amp;L'!$C$5:$G$5</f>
            </numRef>
          </val>
        </ser>
        <ser>
          <idx val="2"/>
          <order val="2"/>
          <tx>
            <strRef>
              <f>'P&amp;L'!B6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'P&amp;L'!$B$3:$G$3</f>
            </numRef>
          </cat>
          <val>
            <numRef>
              <f>'P&amp;L'!$C$6:$G$6</f>
            </numRef>
          </val>
        </ser>
        <ser>
          <idx val="3"/>
          <order val="3"/>
          <tx>
            <strRef>
              <f>'P&amp;L'!B7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'P&amp;L'!$B$3:$G$3</f>
            </numRef>
          </cat>
          <val>
            <numRef>
              <f>'P&amp;L'!$C$7:$G$7</f>
            </numRef>
          </val>
        </ser>
        <ser>
          <idx val="4"/>
          <order val="4"/>
          <tx>
            <strRef>
              <f>'P&amp;L'!B8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'P&amp;L'!$B$3:$G$3</f>
            </numRef>
          </cat>
          <val>
            <numRef>
              <f>'P&amp;L'!$C$8:$G$8</f>
            </numRef>
          </val>
        </ser>
        <ser>
          <idx val="5"/>
          <order val="5"/>
          <tx>
            <strRef>
              <f>'P&amp;L'!B9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'P&amp;L'!$B$3:$G$3</f>
            </numRef>
          </cat>
          <val>
            <numRef>
              <f>'P&amp;L'!$C$9:$G$9</f>
            </numRef>
          </val>
        </ser>
        <ser>
          <idx val="6"/>
          <order val="6"/>
          <tx>
            <strRef>
              <f>'P&amp;L'!B10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'P&amp;L'!$B$3:$G$3</f>
            </numRef>
          </cat>
          <val>
            <numRef>
              <f>'P&amp;L'!$C$10:$G$10</f>
            </numRef>
          </val>
        </ser>
        <ser>
          <idx val="7"/>
          <order val="7"/>
          <tx>
            <strRef>
              <f>'P&amp;L'!B11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'P&amp;L'!$B$3:$G$3</f>
            </numRef>
          </cat>
          <val>
            <numRef>
              <f>'P&amp;L'!$C$11:$G$11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millions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4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57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21</row>
      <rowOff>0</rowOff>
    </from>
    <ext cx="57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s203.q4cdn.com/326826266/files/doc_financials/2025/ar/Starbucks-Corporation_2025-Annual-Report-Web-Ready.pdf" TargetMode="External" Id="rId1"/><Relationship Type="http://schemas.openxmlformats.org/officeDocument/2006/relationships/hyperlink" Target="https://investor.starbucks.com/financials/annual-reports/" TargetMode="External" Id="rId2"/><Relationship Type="http://schemas.openxmlformats.org/officeDocument/2006/relationships/hyperlink" Target="https://investor.starbucks.com/financials/sec-filings/sec-filings-details/default.aspx?FilingId=189274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>Starbucks Corporation Financial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Навчальна базова фінансова модель за даними реального підприємства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Компанія</t>
        </is>
      </c>
      <c r="B4" s="2" t="inlineStr">
        <is>
          <t>Starbucks Corporation</t>
        </is>
      </c>
      <c r="C4" s="2" t="n"/>
      <c r="D4" s="2" t="n"/>
      <c r="E4" s="2" t="n"/>
      <c r="F4" s="2" t="n"/>
      <c r="G4" s="2" t="n"/>
      <c r="H4" s="2" t="n"/>
    </row>
    <row r="5">
      <c r="A5" s="4" t="inlineStr">
        <is>
          <t>Тікер</t>
        </is>
      </c>
      <c r="B5" s="2" t="inlineStr">
        <is>
          <t>SBUX</t>
        </is>
      </c>
      <c r="C5" s="2" t="n"/>
      <c r="D5" s="2" t="n"/>
      <c r="E5" s="2" t="n"/>
      <c r="F5" s="2" t="n"/>
      <c r="G5" s="2" t="n"/>
      <c r="H5" s="2" t="n"/>
    </row>
    <row r="6">
      <c r="A6" s="4" t="inlineStr">
        <is>
          <t>Галузь</t>
        </is>
      </c>
      <c r="B6" s="2" t="inlineStr">
        <is>
          <t>Ресторани / спеціалізована кавова роздрібна торгівля</t>
        </is>
      </c>
      <c r="C6" s="2" t="n"/>
      <c r="D6" s="2" t="n"/>
      <c r="E6" s="2" t="n"/>
      <c r="F6" s="2" t="n"/>
      <c r="G6" s="2" t="n"/>
      <c r="H6" s="2" t="n"/>
    </row>
    <row r="7">
      <c r="A7" s="4" t="inlineStr">
        <is>
          <t>Валюта та одиниці</t>
        </is>
      </c>
      <c r="B7" s="2" t="inlineStr">
        <is>
          <t>USD millions</t>
        </is>
      </c>
      <c r="C7" s="2" t="n"/>
      <c r="D7" s="2" t="n"/>
      <c r="E7" s="2" t="n"/>
      <c r="F7" s="2" t="n"/>
      <c r="G7" s="2" t="n"/>
      <c r="H7" s="2" t="n"/>
    </row>
    <row r="8">
      <c r="A8" s="4" t="inlineStr">
        <is>
          <t>Історичний період</t>
        </is>
      </c>
      <c r="B8" s="2" t="inlineStr">
        <is>
          <t>FY2023-FY2025</t>
        </is>
      </c>
      <c r="C8" s="2" t="n"/>
      <c r="D8" s="2" t="n"/>
      <c r="E8" s="2" t="n"/>
      <c r="F8" s="2" t="n"/>
      <c r="G8" s="2" t="n"/>
      <c r="H8" s="2" t="n"/>
    </row>
    <row r="9">
      <c r="A9" s="4" t="inlineStr">
        <is>
          <t>Прогнозний період</t>
        </is>
      </c>
      <c r="B9" s="2" t="inlineStr">
        <is>
          <t>FY2026E-FY2028E</t>
        </is>
      </c>
      <c r="C9" s="2" t="n"/>
      <c r="D9" s="2" t="n"/>
      <c r="E9" s="2" t="n"/>
      <c r="F9" s="2" t="n"/>
      <c r="G9" s="2" t="n"/>
      <c r="H9" s="2" t="n"/>
    </row>
    <row r="10">
      <c r="A10" s="4" t="inlineStr">
        <is>
          <t>Основне джерело</t>
        </is>
      </c>
      <c r="B10" s="2" t="inlineStr">
        <is>
          <t>Starbucks Fiscal 2025 Annual Report, Form 10-K</t>
        </is>
      </c>
      <c r="C10" s="2" t="n"/>
      <c r="D10" s="2" t="n"/>
      <c r="E10" s="2" t="n"/>
      <c r="F10" s="2" t="n"/>
      <c r="G10" s="2" t="n"/>
      <c r="H10" s="2" t="n"/>
    </row>
    <row r="11">
      <c r="A11" s="4" t="inlineStr">
        <is>
          <t>Статус моделі</t>
        </is>
      </c>
      <c r="B11" s="2">
        <f>Checks!F10</f>
        <v/>
      </c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5" t="inlineStr">
        <is>
          <t>Коротка логіка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Модель бере фактичні фінансові дані Starbucks за 2023-2025 роки, додає припущення для 2026-2028 років, формує спрощений P&amp;L, рахує break-even revenue та показує чутливість прибутку до Revenue growth і Variable cost ratio.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</sheetData>
  <mergeCells count="4">
    <mergeCell ref="A14:H14"/>
    <mergeCell ref="A2:H2"/>
    <mergeCell ref="A15:H17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  <col width="42" customWidth="1" min="6" max="6"/>
    <col width="15" customWidth="1" min="7" max="7"/>
    <col width="15" customWidth="1" min="8" max="8"/>
  </cols>
  <sheetData>
    <row r="1" ht="26" customHeight="1">
      <c r="A1" s="1" t="inlineStr">
        <is>
          <t>Historical Data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Actuals from Starbucks Fiscal 2025 Annual Report, USD millions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Metric</t>
        </is>
      </c>
      <c r="B3" s="6" t="inlineStr">
        <is>
          <t>2023A</t>
        </is>
      </c>
      <c r="C3" s="6" t="inlineStr">
        <is>
          <t>2024A</t>
        </is>
      </c>
      <c r="D3" s="6" t="inlineStr">
        <is>
          <t>2025A</t>
        </is>
      </c>
      <c r="E3" s="6" t="inlineStr">
        <is>
          <t>Source ID</t>
        </is>
      </c>
      <c r="F3" s="6" t="inlineStr">
        <is>
          <t>Notes</t>
        </is>
      </c>
      <c r="G3" s="2" t="n"/>
      <c r="H3" s="2" t="n"/>
    </row>
    <row r="4">
      <c r="A4" s="2" t="inlineStr">
        <is>
          <t>Revenue</t>
        </is>
      </c>
      <c r="B4" s="7" t="n">
        <v>35975.6</v>
      </c>
      <c r="C4" s="7" t="n">
        <v>36176.2</v>
      </c>
      <c r="D4" s="7" t="n">
        <v>37184.4</v>
      </c>
      <c r="E4" s="2" t="inlineStr">
        <is>
          <t>S1</t>
        </is>
      </c>
      <c r="F4" s="2" t="inlineStr">
        <is>
          <t>Form 10-K consolidated results of operations</t>
        </is>
      </c>
      <c r="G4" s="2" t="n"/>
      <c r="H4" s="2" t="n"/>
    </row>
    <row r="5">
      <c r="A5" s="2" t="inlineStr">
        <is>
          <t>Product and distribution costs</t>
        </is>
      </c>
      <c r="B5" s="7" t="n">
        <v>11409.1</v>
      </c>
      <c r="C5" s="7" t="n">
        <v>11180.6</v>
      </c>
      <c r="D5" s="7" t="n">
        <v>11658.2</v>
      </c>
      <c r="E5" s="2" t="inlineStr">
        <is>
          <t>S1</t>
        </is>
      </c>
      <c r="F5" s="2" t="inlineStr">
        <is>
          <t>Form 10-K consolidated results of operations</t>
        </is>
      </c>
      <c r="G5" s="2" t="n"/>
      <c r="H5" s="2" t="n"/>
    </row>
    <row r="6">
      <c r="A6" s="2" t="inlineStr">
        <is>
          <t>Store operating expenses</t>
        </is>
      </c>
      <c r="B6" s="7" t="n">
        <v>14720.3</v>
      </c>
      <c r="C6" s="7" t="n">
        <v>15286.5</v>
      </c>
      <c r="D6" s="7" t="n">
        <v>17058.9</v>
      </c>
      <c r="E6" s="2" t="inlineStr">
        <is>
          <t>S1</t>
        </is>
      </c>
      <c r="F6" s="2" t="inlineStr">
        <is>
          <t>Form 10-K consolidated results of operations</t>
        </is>
      </c>
      <c r="G6" s="2" t="n"/>
      <c r="H6" s="2" t="n"/>
    </row>
    <row r="7">
      <c r="A7" s="2" t="inlineStr">
        <is>
          <t>Other operating expenses</t>
        </is>
      </c>
      <c r="B7" s="7" t="n">
        <v>539.4</v>
      </c>
      <c r="C7" s="7" t="n">
        <v>565.6</v>
      </c>
      <c r="D7" s="7" t="n">
        <v>584.6</v>
      </c>
      <c r="E7" s="2" t="inlineStr">
        <is>
          <t>S1</t>
        </is>
      </c>
      <c r="F7" s="2" t="inlineStr">
        <is>
          <t>Form 10-K consolidated results of operations</t>
        </is>
      </c>
      <c r="G7" s="2" t="n"/>
      <c r="H7" s="2" t="n"/>
    </row>
    <row r="8">
      <c r="A8" s="2" t="inlineStr">
        <is>
          <t>Depreciation and amortization</t>
        </is>
      </c>
      <c r="B8" s="7" t="n">
        <v>1362.6</v>
      </c>
      <c r="C8" s="7" t="n">
        <v>1512.6</v>
      </c>
      <c r="D8" s="7" t="n">
        <v>1684.7</v>
      </c>
      <c r="E8" s="2" t="inlineStr">
        <is>
          <t>S1</t>
        </is>
      </c>
      <c r="F8" s="2" t="inlineStr">
        <is>
          <t>Form 10-K consolidated results of operations</t>
        </is>
      </c>
      <c r="G8" s="2" t="n"/>
      <c r="H8" s="2" t="n"/>
    </row>
    <row r="9">
      <c r="A9" s="2" t="inlineStr">
        <is>
          <t>General and administrative expenses</t>
        </is>
      </c>
      <c r="B9" s="7" t="n">
        <v>2441.3</v>
      </c>
      <c r="C9" s="7" t="n">
        <v>2523.3</v>
      </c>
      <c r="D9" s="7" t="n">
        <v>2617.2</v>
      </c>
      <c r="E9" s="2" t="inlineStr">
        <is>
          <t>S1</t>
        </is>
      </c>
      <c r="F9" s="2" t="inlineStr">
        <is>
          <t>Form 10-K consolidated results of operations</t>
        </is>
      </c>
      <c r="G9" s="2" t="n"/>
      <c r="H9" s="2" t="n"/>
    </row>
    <row r="10">
      <c r="A10" s="2" t="inlineStr">
        <is>
          <t>Restructuring and impairments</t>
        </is>
      </c>
      <c r="B10" s="7" t="n">
        <v>21.8</v>
      </c>
      <c r="C10" s="7" t="n">
        <v>0</v>
      </c>
      <c r="D10" s="7" t="n">
        <v>892</v>
      </c>
      <c r="E10" s="2" t="inlineStr">
        <is>
          <t>S1</t>
        </is>
      </c>
      <c r="F10" s="2" t="inlineStr">
        <is>
          <t>Form 10-K consolidated results of operations</t>
        </is>
      </c>
      <c r="G10" s="2" t="n"/>
      <c r="H10" s="2" t="n"/>
    </row>
    <row r="11">
      <c r="A11" s="2" t="inlineStr">
        <is>
          <t>Total operating expenses</t>
        </is>
      </c>
      <c r="B11" s="7">
        <f>SUM(B5:B10)</f>
        <v/>
      </c>
      <c r="C11" s="7">
        <f>SUM(C5:C10)</f>
        <v/>
      </c>
      <c r="D11" s="7">
        <f>SUM(D5:D10)</f>
        <v/>
      </c>
      <c r="E11" s="2" t="inlineStr">
        <is>
          <t>S1</t>
        </is>
      </c>
      <c r="F11" s="2" t="inlineStr">
        <is>
          <t>Form 10-K consolidated results of operations</t>
        </is>
      </c>
      <c r="G11" s="2" t="n"/>
      <c r="H11" s="2" t="n"/>
    </row>
    <row r="12">
      <c r="A12" s="2" t="inlineStr">
        <is>
          <t>Income from equity investees</t>
        </is>
      </c>
      <c r="B12" s="7" t="n">
        <v>298.4</v>
      </c>
      <c r="C12" s="7" t="n">
        <v>301.2</v>
      </c>
      <c r="D12" s="7" t="n">
        <v>247.8</v>
      </c>
      <c r="E12" s="2" t="inlineStr">
        <is>
          <t>S1</t>
        </is>
      </c>
      <c r="F12" s="2" t="inlineStr">
        <is>
          <t>Form 10-K consolidated results of operations</t>
        </is>
      </c>
      <c r="G12" s="2" t="n"/>
      <c r="H12" s="2" t="n"/>
    </row>
    <row r="13">
      <c r="A13" s="2" t="inlineStr">
        <is>
          <t>Operating income</t>
        </is>
      </c>
      <c r="B13" s="7">
        <f>B4-B11+B12</f>
        <v/>
      </c>
      <c r="C13" s="7">
        <f>C4-C11+C12</f>
        <v/>
      </c>
      <c r="D13" s="7">
        <f>D4-D11+D12</f>
        <v/>
      </c>
      <c r="E13" s="2" t="inlineStr">
        <is>
          <t>S1</t>
        </is>
      </c>
      <c r="F13" s="2" t="inlineStr">
        <is>
          <t>Form 10-K consolidated results of operations</t>
        </is>
      </c>
      <c r="G13" s="2" t="n"/>
      <c r="H13" s="2" t="n"/>
    </row>
    <row r="14">
      <c r="A14" s="2" t="inlineStr">
        <is>
          <t>Operating margin</t>
        </is>
      </c>
      <c r="B14" s="8">
        <f>B13/B4</f>
        <v/>
      </c>
      <c r="C14" s="8">
        <f>C13/C4</f>
        <v/>
      </c>
      <c r="D14" s="8">
        <f>D13/D4</f>
        <v/>
      </c>
      <c r="E14" s="2" t="inlineStr">
        <is>
          <t>S1</t>
        </is>
      </c>
      <c r="F14" s="2" t="inlineStr">
        <is>
          <t>Form 10-K consolidated results of operations</t>
        </is>
      </c>
      <c r="G14" s="2" t="n"/>
      <c r="H14" s="2" t="n"/>
    </row>
    <row r="15">
      <c r="A15" s="2" t="inlineStr">
        <is>
          <t>Net earnings attributable to Starbucks</t>
        </is>
      </c>
      <c r="B15" s="7" t="n">
        <v>4124.5</v>
      </c>
      <c r="C15" s="7" t="n">
        <v>3760.9</v>
      </c>
      <c r="D15" s="7" t="n">
        <v>1856.4</v>
      </c>
      <c r="E15" s="2" t="inlineStr">
        <is>
          <t>S1</t>
        </is>
      </c>
      <c r="F15" s="2" t="inlineStr">
        <is>
          <t>Form 10-K consolidated results of operations</t>
        </is>
      </c>
      <c r="G15" s="2" t="n"/>
      <c r="H15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>Assumptions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Blue/yellow cells are editable assumptions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Driver</t>
        </is>
      </c>
      <c r="B3" s="6" t="inlineStr">
        <is>
          <t>2026E</t>
        </is>
      </c>
      <c r="C3" s="6" t="inlineStr">
        <is>
          <t>2027E</t>
        </is>
      </c>
      <c r="D3" s="6" t="inlineStr">
        <is>
          <t>2028E</t>
        </is>
      </c>
      <c r="E3" s="6" t="inlineStr">
        <is>
          <t>Rationale</t>
        </is>
      </c>
      <c r="F3" s="2" t="n"/>
      <c r="G3" s="2" t="n"/>
      <c r="H3" s="2" t="n"/>
    </row>
    <row r="4">
      <c r="A4" s="2" t="inlineStr">
        <is>
          <t>Revenue growth</t>
        </is>
      </c>
      <c r="B4" s="9" t="n">
        <v>0.035</v>
      </c>
      <c r="C4" s="9" t="n">
        <v>0.04</v>
      </c>
      <c r="D4" s="9" t="n">
        <v>0.04</v>
      </c>
      <c r="E4" s="2" t="inlineStr">
        <is>
          <t>Moderate recovery after FY2025; conservative normalized growth.</t>
        </is>
      </c>
      <c r="F4" s="2" t="n"/>
      <c r="G4" s="2" t="n"/>
      <c r="H4" s="2" t="n"/>
    </row>
    <row r="5">
      <c r="A5" s="2" t="inlineStr">
        <is>
          <t>Variable cost ratio</t>
        </is>
      </c>
      <c r="B5" s="9" t="n">
        <v>0.765</v>
      </c>
      <c r="C5" s="9" t="n">
        <v>0.76</v>
      </c>
      <c r="D5" s="9" t="n">
        <v>0.755</v>
      </c>
      <c r="E5" s="2" t="inlineStr">
        <is>
          <t>Costs tied to revenue: product, distribution, store, and other operating costs.</t>
        </is>
      </c>
      <c r="F5" s="2" t="n"/>
      <c r="G5" s="2" t="n"/>
      <c r="H5" s="2" t="n"/>
    </row>
    <row r="6">
      <c r="A6" s="2" t="inlineStr">
        <is>
          <t>Product/distribution share of variable costs</t>
        </is>
      </c>
      <c r="B6" s="9" t="n">
        <v>0.385</v>
      </c>
      <c r="C6" s="9" t="n">
        <v>0.385</v>
      </c>
      <c r="D6" s="9" t="n">
        <v>0.385</v>
      </c>
      <c r="E6" s="2" t="inlineStr">
        <is>
          <t>Approximate split based on FY2025 cost structure.</t>
        </is>
      </c>
      <c r="F6" s="2" t="n"/>
      <c r="G6" s="2" t="n"/>
      <c r="H6" s="2" t="n"/>
    </row>
    <row r="7">
      <c r="A7" s="2" t="inlineStr">
        <is>
          <t>Store operating share of variable costs</t>
        </is>
      </c>
      <c r="B7" s="9" t="n">
        <v>0.595</v>
      </c>
      <c r="C7" s="9" t="n">
        <v>0.595</v>
      </c>
      <c r="D7" s="9" t="n">
        <v>0.595</v>
      </c>
      <c r="E7" s="2" t="inlineStr">
        <is>
          <t>Main variable/semi-variable operating cost block.</t>
        </is>
      </c>
      <c r="F7" s="2" t="n"/>
      <c r="G7" s="2" t="n"/>
      <c r="H7" s="2" t="n"/>
    </row>
    <row r="8">
      <c r="A8" s="2" t="inlineStr">
        <is>
          <t>Other operating share of variable costs</t>
        </is>
      </c>
      <c r="B8" s="9" t="n">
        <v>0.02</v>
      </c>
      <c r="C8" s="9" t="n">
        <v>0.02</v>
      </c>
      <c r="D8" s="9" t="n">
        <v>0.02</v>
      </c>
      <c r="E8" s="2" t="inlineStr">
        <is>
          <t>Small remaining operating cost category.</t>
        </is>
      </c>
      <c r="F8" s="2" t="n"/>
      <c r="G8" s="2" t="n"/>
      <c r="H8" s="2" t="n"/>
    </row>
    <row r="9">
      <c r="A9" s="2" t="inlineStr">
        <is>
          <t>Fixed cost growth</t>
        </is>
      </c>
      <c r="B9" s="9" t="n">
        <v>0.03</v>
      </c>
      <c r="C9" s="9" t="n">
        <v>0.03</v>
      </c>
      <c r="D9" s="9" t="n">
        <v>0.03</v>
      </c>
      <c r="E9" s="2" t="inlineStr">
        <is>
          <t>D&amp;A and G&amp;A grow below revenue growth.</t>
        </is>
      </c>
      <c r="F9" s="2" t="n"/>
      <c r="G9" s="2" t="n"/>
      <c r="H9" s="2" t="n"/>
    </row>
    <row r="10">
      <c r="A10" s="2" t="inlineStr">
        <is>
          <t>Equity income as % of revenue</t>
        </is>
      </c>
      <c r="B10" s="9" t="n">
        <v>0.006</v>
      </c>
      <c r="C10" s="9" t="n">
        <v>0.006</v>
      </c>
      <c r="D10" s="9" t="n">
        <v>0.006</v>
      </c>
      <c r="E10" s="2" t="inlineStr">
        <is>
          <t>Based on recent historical range.</t>
        </is>
      </c>
      <c r="F10" s="2" t="n"/>
      <c r="G10" s="2" t="n"/>
      <c r="H10" s="2" t="n"/>
    </row>
    <row r="11">
      <c r="A11" s="2" t="inlineStr">
        <is>
          <t>Restructuring costs</t>
        </is>
      </c>
      <c r="B11" s="10" t="n">
        <v>300</v>
      </c>
      <c r="C11" s="10" t="n">
        <v>100</v>
      </c>
      <c r="D11" s="10" t="n">
        <v>50</v>
      </c>
      <c r="E11" s="2" t="inlineStr">
        <is>
          <t>Assumed decline after elevated FY2025 restructuring costs.</t>
        </is>
      </c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5" t="inlineStr">
        <is>
          <t>Convention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Forecast formulas reference these assumptions. Change blue/yellow cells to test another scenario.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</sheetData>
  <mergeCells count="4">
    <mergeCell ref="A14:E14"/>
    <mergeCell ref="A2:H2"/>
    <mergeCell ref="A15:E16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>Simplified P&amp;L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Historical actuals and forecast, USD millions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Metric</t>
        </is>
      </c>
      <c r="B3" s="6" t="inlineStr">
        <is>
          <t>2023A</t>
        </is>
      </c>
      <c r="C3" s="6" t="inlineStr">
        <is>
          <t>2024A</t>
        </is>
      </c>
      <c r="D3" s="6" t="inlineStr">
        <is>
          <t>2025A</t>
        </is>
      </c>
      <c r="E3" s="6" t="inlineStr">
        <is>
          <t>2026E</t>
        </is>
      </c>
      <c r="F3" s="6" t="inlineStr">
        <is>
          <t>2027E</t>
        </is>
      </c>
      <c r="G3" s="6" t="inlineStr">
        <is>
          <t>2028E</t>
        </is>
      </c>
      <c r="H3" s="2" t="n"/>
    </row>
    <row r="4">
      <c r="A4" s="2" t="inlineStr">
        <is>
          <t>Revenue</t>
        </is>
      </c>
      <c r="B4" s="11">
        <f>Data!B4</f>
        <v/>
      </c>
      <c r="C4" s="11">
        <f>Data!C4</f>
        <v/>
      </c>
      <c r="D4" s="11">
        <f>Data!D4</f>
        <v/>
      </c>
      <c r="E4" s="7">
        <f>D4*(1+Assumptions!B$4)</f>
        <v/>
      </c>
      <c r="F4" s="7">
        <f>E4*(1+Assumptions!C$4)</f>
        <v/>
      </c>
      <c r="G4" s="7">
        <f>F4*(1+Assumptions!D$4)</f>
        <v/>
      </c>
      <c r="H4" s="2" t="n"/>
    </row>
    <row r="5">
      <c r="A5" s="2" t="inlineStr">
        <is>
          <t>Product and distribution costs</t>
        </is>
      </c>
      <c r="B5" s="11">
        <f>Data!B5</f>
        <v/>
      </c>
      <c r="C5" s="11">
        <f>Data!C5</f>
        <v/>
      </c>
      <c r="D5" s="11">
        <f>Data!D5</f>
        <v/>
      </c>
      <c r="E5" s="7">
        <f>E4*Assumptions!B$5*Assumptions!B$6</f>
        <v/>
      </c>
      <c r="F5" s="7">
        <f>F4*Assumptions!C$5*Assumptions!C$6</f>
        <v/>
      </c>
      <c r="G5" s="7">
        <f>G4*Assumptions!D$5*Assumptions!D$6</f>
        <v/>
      </c>
      <c r="H5" s="2" t="n"/>
    </row>
    <row r="6">
      <c r="A6" s="2" t="inlineStr">
        <is>
          <t>Store operating expenses</t>
        </is>
      </c>
      <c r="B6" s="11">
        <f>Data!B6</f>
        <v/>
      </c>
      <c r="C6" s="11">
        <f>Data!C6</f>
        <v/>
      </c>
      <c r="D6" s="11">
        <f>Data!D6</f>
        <v/>
      </c>
      <c r="E6" s="7">
        <f>E4*Assumptions!B$5*Assumptions!B$7</f>
        <v/>
      </c>
      <c r="F6" s="7">
        <f>F4*Assumptions!C$5*Assumptions!C$7</f>
        <v/>
      </c>
      <c r="G6" s="7">
        <f>G4*Assumptions!D$5*Assumptions!D$7</f>
        <v/>
      </c>
      <c r="H6" s="2" t="n"/>
    </row>
    <row r="7">
      <c r="A7" s="2" t="inlineStr">
        <is>
          <t>Other operating expenses</t>
        </is>
      </c>
      <c r="B7" s="11">
        <f>Data!B7</f>
        <v/>
      </c>
      <c r="C7" s="11">
        <f>Data!C7</f>
        <v/>
      </c>
      <c r="D7" s="11">
        <f>Data!D7</f>
        <v/>
      </c>
      <c r="E7" s="7">
        <f>E4*Assumptions!B$5*Assumptions!B$8</f>
        <v/>
      </c>
      <c r="F7" s="7">
        <f>F4*Assumptions!C$5*Assumptions!C$8</f>
        <v/>
      </c>
      <c r="G7" s="7">
        <f>G4*Assumptions!D$5*Assumptions!D$8</f>
        <v/>
      </c>
      <c r="H7" s="2" t="n"/>
    </row>
    <row r="8">
      <c r="A8" s="2" t="inlineStr">
        <is>
          <t>Depreciation and amortization</t>
        </is>
      </c>
      <c r="B8" s="11">
        <f>Data!B8</f>
        <v/>
      </c>
      <c r="C8" s="11">
        <f>Data!C8</f>
        <v/>
      </c>
      <c r="D8" s="11">
        <f>Data!D8</f>
        <v/>
      </c>
      <c r="E8" s="7">
        <f>D8*(1+Assumptions!B$9)</f>
        <v/>
      </c>
      <c r="F8" s="7">
        <f>E8*(1+Assumptions!C$9)</f>
        <v/>
      </c>
      <c r="G8" s="7">
        <f>F8*(1+Assumptions!D$9)</f>
        <v/>
      </c>
      <c r="H8" s="2" t="n"/>
    </row>
    <row r="9">
      <c r="A9" s="2" t="inlineStr">
        <is>
          <t>General and administrative expenses</t>
        </is>
      </c>
      <c r="B9" s="11">
        <f>Data!B9</f>
        <v/>
      </c>
      <c r="C9" s="11">
        <f>Data!C9</f>
        <v/>
      </c>
      <c r="D9" s="11">
        <f>Data!D9</f>
        <v/>
      </c>
      <c r="E9" s="7">
        <f>D9*(1+Assumptions!B$9)</f>
        <v/>
      </c>
      <c r="F9" s="7">
        <f>E9*(1+Assumptions!C$9)</f>
        <v/>
      </c>
      <c r="G9" s="7">
        <f>F9*(1+Assumptions!D$9)</f>
        <v/>
      </c>
      <c r="H9" s="2" t="n"/>
    </row>
    <row r="10">
      <c r="A10" s="2" t="inlineStr">
        <is>
          <t>Restructuring and impairments</t>
        </is>
      </c>
      <c r="B10" s="11">
        <f>Data!B10</f>
        <v/>
      </c>
      <c r="C10" s="11">
        <f>Data!C10</f>
        <v/>
      </c>
      <c r="D10" s="11">
        <f>Data!D10</f>
        <v/>
      </c>
      <c r="E10" s="7">
        <f>Assumptions!B$11</f>
        <v/>
      </c>
      <c r="F10" s="7">
        <f>Assumptions!C$11</f>
        <v/>
      </c>
      <c r="G10" s="7">
        <f>Assumptions!D$11</f>
        <v/>
      </c>
      <c r="H10" s="2" t="n"/>
    </row>
    <row r="11">
      <c r="A11" s="12" t="inlineStr">
        <is>
          <t>Total operating expenses</t>
        </is>
      </c>
      <c r="B11" s="13">
        <f>Data!B11</f>
        <v/>
      </c>
      <c r="C11" s="13">
        <f>Data!C11</f>
        <v/>
      </c>
      <c r="D11" s="13">
        <f>Data!D11</f>
        <v/>
      </c>
      <c r="E11" s="13">
        <f>SUM(E5:E10)</f>
        <v/>
      </c>
      <c r="F11" s="13">
        <f>SUM(F5:F10)</f>
        <v/>
      </c>
      <c r="G11" s="13">
        <f>SUM(G5:G10)</f>
        <v/>
      </c>
      <c r="H11" s="2" t="n"/>
    </row>
    <row r="12">
      <c r="A12" s="2" t="inlineStr">
        <is>
          <t>Income from equity investees</t>
        </is>
      </c>
      <c r="B12" s="11">
        <f>Data!B12</f>
        <v/>
      </c>
      <c r="C12" s="11">
        <f>Data!C12</f>
        <v/>
      </c>
      <c r="D12" s="11">
        <f>Data!D12</f>
        <v/>
      </c>
      <c r="E12" s="7">
        <f>E4*Assumptions!B$10</f>
        <v/>
      </c>
      <c r="F12" s="7">
        <f>F4*Assumptions!C$10</f>
        <v/>
      </c>
      <c r="G12" s="7">
        <f>G4*Assumptions!D$10</f>
        <v/>
      </c>
      <c r="H12" s="2" t="n"/>
    </row>
    <row r="13">
      <c r="A13" s="14" t="inlineStr">
        <is>
          <t>Operating income</t>
        </is>
      </c>
      <c r="B13" s="15">
        <f>Data!B13</f>
        <v/>
      </c>
      <c r="C13" s="15">
        <f>Data!C13</f>
        <v/>
      </c>
      <c r="D13" s="15">
        <f>Data!D13</f>
        <v/>
      </c>
      <c r="E13" s="15">
        <f>E4-E11+E12</f>
        <v/>
      </c>
      <c r="F13" s="15">
        <f>F4-F11+F12</f>
        <v/>
      </c>
      <c r="G13" s="15">
        <f>G4-G11+G12</f>
        <v/>
      </c>
      <c r="H13" s="2" t="n"/>
    </row>
    <row r="14">
      <c r="A14" s="2" t="inlineStr">
        <is>
          <t>Operating margin</t>
        </is>
      </c>
      <c r="B14" s="16">
        <f>Data!B14</f>
        <v/>
      </c>
      <c r="C14" s="16">
        <f>Data!C14</f>
        <v/>
      </c>
      <c r="D14" s="16">
        <f>Data!D14</f>
        <v/>
      </c>
      <c r="E14" s="8">
        <f>E13/E4</f>
        <v/>
      </c>
      <c r="F14" s="8">
        <f>F13/F4</f>
        <v/>
      </c>
      <c r="G14" s="8">
        <f>G13/G4</f>
        <v/>
      </c>
      <c r="H14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5" customWidth="1" min="2" max="2"/>
    <col width="4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>Break-even Analysis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Break-even revenue based on contribution margin method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Metric</t>
        </is>
      </c>
      <c r="B3" s="6" t="inlineStr">
        <is>
          <t>Formula / Value</t>
        </is>
      </c>
      <c r="C3" s="6" t="inlineStr">
        <is>
          <t>Explanation</t>
        </is>
      </c>
      <c r="D3" s="2" t="n"/>
      <c r="E3" s="2" t="n"/>
      <c r="F3" s="2" t="n"/>
      <c r="G3" s="2" t="n"/>
      <c r="H3" s="2" t="n"/>
    </row>
    <row r="4">
      <c r="A4" s="2" t="inlineStr">
        <is>
          <t>Revenue 2026E</t>
        </is>
      </c>
      <c r="B4" s="7">
        <f>'P&amp;L'!E4</f>
        <v/>
      </c>
      <c r="C4" s="2" t="inlineStr">
        <is>
          <t>Base forecast revenue</t>
        </is>
      </c>
      <c r="D4" s="2" t="n"/>
      <c r="E4" s="2" t="n"/>
      <c r="F4" s="2" t="n"/>
      <c r="G4" s="2" t="n"/>
      <c r="H4" s="2" t="n"/>
    </row>
    <row r="5">
      <c r="A5" s="2" t="inlineStr">
        <is>
          <t>Variable cost ratio 2026E</t>
        </is>
      </c>
      <c r="B5" s="8">
        <f>Assumptions!B5</f>
        <v/>
      </c>
      <c r="C5" s="2" t="inlineStr">
        <is>
          <t>Variable costs as % of revenue</t>
        </is>
      </c>
      <c r="D5" s="2" t="n"/>
      <c r="E5" s="2" t="n"/>
      <c r="F5" s="2" t="n"/>
      <c r="G5" s="2" t="n"/>
      <c r="H5" s="2" t="n"/>
    </row>
    <row r="6">
      <c r="A6" s="2" t="inlineStr">
        <is>
          <t>Contribution margin %</t>
        </is>
      </c>
      <c r="B6" s="8">
        <f>1-B5</f>
        <v/>
      </c>
      <c r="C6" s="2" t="inlineStr">
        <is>
          <t>1 - variable cost ratio</t>
        </is>
      </c>
      <c r="D6" s="2" t="n"/>
      <c r="E6" s="2" t="n"/>
      <c r="F6" s="2" t="n"/>
      <c r="G6" s="2" t="n"/>
      <c r="H6" s="2" t="n"/>
    </row>
    <row r="7">
      <c r="A7" s="2" t="inlineStr">
        <is>
          <t>Fixed costs 2026E</t>
        </is>
      </c>
      <c r="B7" s="7">
        <f>'P&amp;L'!E8+'P&amp;L'!E9+'P&amp;L'!E10</f>
        <v/>
      </c>
      <c r="C7" s="2" t="inlineStr">
        <is>
          <t>D&amp;A + G&amp;A + restructuring</t>
        </is>
      </c>
      <c r="D7" s="2" t="n"/>
      <c r="E7" s="2" t="n"/>
      <c r="F7" s="2" t="n"/>
      <c r="G7" s="2" t="n"/>
      <c r="H7" s="2" t="n"/>
    </row>
    <row r="8">
      <c r="A8" s="2" t="inlineStr">
        <is>
          <t>Break-even revenue 2026E</t>
        </is>
      </c>
      <c r="B8" s="7">
        <f>B7/B6</f>
        <v/>
      </c>
      <c r="C8" s="2" t="inlineStr">
        <is>
          <t>Fixed costs / contribution margin</t>
        </is>
      </c>
      <c r="D8" s="2" t="n"/>
      <c r="E8" s="2" t="n"/>
      <c r="F8" s="2" t="n"/>
      <c r="G8" s="2" t="n"/>
      <c r="H8" s="2" t="n"/>
    </row>
    <row r="9">
      <c r="A9" s="2" t="inlineStr">
        <is>
          <t>Safety margin vs forecast</t>
        </is>
      </c>
      <c r="B9" s="7">
        <f>B4-B8</f>
        <v/>
      </c>
      <c r="C9" s="2" t="inlineStr">
        <is>
          <t>Revenue forecast minus break-even revenue</t>
        </is>
      </c>
      <c r="D9" s="2" t="n"/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>Sensitivity Analysis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2026E operating income sensitivity to revenue growth and variable cost ratio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Operating income 2026E, USD millions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inlineStr">
        <is>
          <t>Variable cost ratio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Revenue growth delta</t>
        </is>
      </c>
      <c r="B5" s="17" t="n">
        <v>0.745</v>
      </c>
      <c r="C5" s="17" t="n">
        <v>0.765</v>
      </c>
      <c r="D5" s="17" t="n">
        <v>0.785</v>
      </c>
      <c r="E5" s="2" t="n"/>
      <c r="F5" s="2" t="n"/>
      <c r="G5" s="2" t="n"/>
      <c r="H5" s="2" t="n"/>
    </row>
    <row r="6">
      <c r="A6" s="17" t="n">
        <v>-0.05</v>
      </c>
      <c r="B6" s="7">
        <f>('P&amp;L'!D4*(1+Assumptions!B4+$A6))*(1-B$5)-('P&amp;L'!E8+'P&amp;L'!E9+Assumptions!B11)+('P&amp;L'!D4*(1+Assumptions!B4+$A6))*Assumptions!B10</f>
        <v/>
      </c>
      <c r="C6" s="7">
        <f>('P&amp;L'!D4*(1+Assumptions!B4+$A6))*(1-C$5)-('P&amp;L'!E8+'P&amp;L'!E9+Assumptions!B11)+('P&amp;L'!D4*(1+Assumptions!B4+$A6))*Assumptions!B10</f>
        <v/>
      </c>
      <c r="D6" s="7">
        <f>('P&amp;L'!D4*(1+Assumptions!B4+$A6))*(1-D$5)-('P&amp;L'!E8+'P&amp;L'!E9+Assumptions!B11)+('P&amp;L'!D4*(1+Assumptions!B4+$A6))*Assumptions!B10</f>
        <v/>
      </c>
      <c r="E6" s="2" t="n"/>
      <c r="F6" s="2" t="n"/>
      <c r="G6" s="2" t="n"/>
      <c r="H6" s="2" t="n"/>
    </row>
    <row r="7">
      <c r="A7" s="17" t="n">
        <v>0</v>
      </c>
      <c r="B7" s="7">
        <f>('P&amp;L'!D4*(1+Assumptions!B4+$A7))*(1-B$5)-('P&amp;L'!E8+'P&amp;L'!E9+Assumptions!B11)+('P&amp;L'!D4*(1+Assumptions!B4+$A7))*Assumptions!B10</f>
        <v/>
      </c>
      <c r="C7" s="7">
        <f>('P&amp;L'!D4*(1+Assumptions!B4+$A7))*(1-C$5)-('P&amp;L'!E8+'P&amp;L'!E9+Assumptions!B11)+('P&amp;L'!D4*(1+Assumptions!B4+$A7))*Assumptions!B10</f>
        <v/>
      </c>
      <c r="D7" s="7">
        <f>('P&amp;L'!D4*(1+Assumptions!B4+$A7))*(1-D$5)-('P&amp;L'!E8+'P&amp;L'!E9+Assumptions!B11)+('P&amp;L'!D4*(1+Assumptions!B4+$A7))*Assumptions!B10</f>
        <v/>
      </c>
      <c r="E7" s="2" t="n"/>
      <c r="F7" s="2" t="n"/>
      <c r="G7" s="2" t="n"/>
      <c r="H7" s="2" t="n"/>
    </row>
    <row r="8">
      <c r="A8" s="17" t="n">
        <v>0.05</v>
      </c>
      <c r="B8" s="7">
        <f>('P&amp;L'!D4*(1+Assumptions!B4+$A8))*(1-B$5)-('P&amp;L'!E8+'P&amp;L'!E9+Assumptions!B11)+('P&amp;L'!D4*(1+Assumptions!B4+$A8))*Assumptions!B10</f>
        <v/>
      </c>
      <c r="C8" s="7">
        <f>('P&amp;L'!D4*(1+Assumptions!B4+$A8))*(1-C$5)-('P&amp;L'!E8+'P&amp;L'!E9+Assumptions!B11)+('P&amp;L'!D4*(1+Assumptions!B4+$A8))*Assumptions!B10</f>
        <v/>
      </c>
      <c r="D8" s="7">
        <f>('P&amp;L'!D4*(1+Assumptions!B4+$A8))*(1-D$5)-('P&amp;L'!E8+'P&amp;L'!E9+Assumptions!B11)+('P&amp;L'!D4*(1+Assumptions!B4+$A8))*Assumptions!B10</f>
        <v/>
      </c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Interpretation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Higher revenue growth improves operating income, while a higher variable cost ratio quickly compresses profitability.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</sheetData>
  <mergeCells count="5">
    <mergeCell ref="A12:E13"/>
    <mergeCell ref="A2:H2"/>
    <mergeCell ref="A11:E11"/>
    <mergeCell ref="A1:H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>Charts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Revenue, costs, operating income, and margin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Charts are linked to the P&amp;L sheet and update when assumptions change.</t>
        </is>
      </c>
      <c r="B3" s="2" t="n"/>
      <c r="C3" s="2" t="n"/>
      <c r="D3" s="2" t="n"/>
      <c r="E3" s="2" t="n"/>
      <c r="F3" s="2" t="n"/>
      <c r="G3" s="2" t="n"/>
      <c r="H3" s="2" t="n"/>
    </row>
  </sheetData>
  <mergeCells count="3">
    <mergeCell ref="A3:H3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>Model Checks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Basic source, formula, and logic checks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Check</t>
        </is>
      </c>
      <c r="B3" s="6" t="inlineStr">
        <is>
          <t>Actual</t>
        </is>
      </c>
      <c r="C3" s="6" t="inlineStr">
        <is>
          <t>Expected</t>
        </is>
      </c>
      <c r="D3" s="6" t="inlineStr">
        <is>
          <t>Difference</t>
        </is>
      </c>
      <c r="E3" s="6" t="inlineStr">
        <is>
          <t>Tolerance</t>
        </is>
      </c>
      <c r="F3" s="6" t="inlineStr">
        <is>
          <t>Status</t>
        </is>
      </c>
      <c r="G3" s="2" t="n"/>
      <c r="H3" s="2" t="n"/>
    </row>
    <row r="4">
      <c r="A4" s="2" t="inlineStr">
        <is>
          <t>2025 revenue ties to source</t>
        </is>
      </c>
      <c r="B4" s="18">
        <f>'P&amp;L'!D4</f>
        <v/>
      </c>
      <c r="C4" s="18">
        <f>Data!D4</f>
        <v/>
      </c>
      <c r="D4" s="18">
        <f>B4-C4</f>
        <v/>
      </c>
      <c r="E4" s="7" t="n">
        <v>0.01</v>
      </c>
      <c r="F4" s="2">
        <f>IF(ABS(D4)&lt;=E4,"OK","Review")</f>
        <v/>
      </c>
      <c r="G4" s="2" t="n"/>
      <c r="H4" s="2" t="n"/>
    </row>
    <row r="5">
      <c r="A5" s="2" t="inlineStr">
        <is>
          <t>2025 operating income ties to source formula</t>
        </is>
      </c>
      <c r="B5" s="18">
        <f>'P&amp;L'!D13</f>
        <v/>
      </c>
      <c r="C5" s="18">
        <f>Data!D13</f>
        <v/>
      </c>
      <c r="D5" s="18">
        <f>B5-C5</f>
        <v/>
      </c>
      <c r="E5" s="7" t="n">
        <v>0.01</v>
      </c>
      <c r="F5" s="2">
        <f>IF(ABS(D5)&lt;=E5,"OK","Review")</f>
        <v/>
      </c>
      <c r="G5" s="2" t="n"/>
      <c r="H5" s="2" t="n"/>
    </row>
    <row r="6">
      <c r="A6" s="2" t="inlineStr">
        <is>
          <t>2026 total opex sums components</t>
        </is>
      </c>
      <c r="B6" s="18">
        <f>'P&amp;L'!E11</f>
        <v/>
      </c>
      <c r="C6" s="18">
        <f>SUM('P&amp;L'!E5:E10)</f>
        <v/>
      </c>
      <c r="D6" s="18">
        <f>B6-C6</f>
        <v/>
      </c>
      <c r="E6" s="7" t="n">
        <v>0.01</v>
      </c>
      <c r="F6" s="2">
        <f>IF(ABS(D6)&lt;=E6,"OK","Review")</f>
        <v/>
      </c>
      <c r="G6" s="2" t="n"/>
      <c r="H6" s="2" t="n"/>
    </row>
    <row r="7">
      <c r="A7" s="2" t="inlineStr">
        <is>
          <t>2026 operating margin formula</t>
        </is>
      </c>
      <c r="B7" s="18">
        <f>'P&amp;L'!E14</f>
        <v/>
      </c>
      <c r="C7" s="18">
        <f>'P&amp;L'!E13/'P&amp;L'!E4</f>
        <v/>
      </c>
      <c r="D7" s="18">
        <f>B7-C7</f>
        <v/>
      </c>
      <c r="E7" s="7" t="n">
        <v>0.0001</v>
      </c>
      <c r="F7" s="2">
        <f>IF(ABS(D7)&lt;=E7,"OK","Review")</f>
        <v/>
      </c>
      <c r="G7" s="2" t="n"/>
      <c r="H7" s="2" t="n"/>
    </row>
    <row r="8">
      <c r="A8" s="2" t="inlineStr">
        <is>
          <t>Break-even safety margin formula</t>
        </is>
      </c>
      <c r="B8" s="18">
        <f>'Break-even'!B9</f>
        <v/>
      </c>
      <c r="C8" s="18">
        <f>'Break-even'!B4-'Break-even'!B8</f>
        <v/>
      </c>
      <c r="D8" s="18">
        <f>B8-C8</f>
        <v/>
      </c>
      <c r="E8" s="7" t="n">
        <v>0.01</v>
      </c>
      <c r="F8" s="2">
        <f>IF(ABS(D8)&lt;=E8,"OK","Review")</f>
        <v/>
      </c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inlineStr">
        <is>
          <t>Overall model status</t>
        </is>
      </c>
      <c r="B10" s="2" t="n"/>
      <c r="C10" s="2" t="n"/>
      <c r="D10" s="2" t="n"/>
      <c r="E10" s="2" t="n"/>
      <c r="F10" s="19">
        <f>IF(COUNTIF(F4:F8,"Review")=0,"OK","Review")</f>
        <v/>
      </c>
      <c r="G10" s="2" t="n"/>
      <c r="H10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42" customWidth="1" min="2" max="2"/>
    <col width="80" customWidth="1" min="3" max="3"/>
    <col width="62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6" customHeight="1">
      <c r="A1" s="1" t="inlineStr">
        <is>
          <t>Sources and Audit Trail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Official Starbucks / SEC source links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Source ID</t>
        </is>
      </c>
      <c r="B3" s="6" t="inlineStr">
        <is>
          <t>Source</t>
        </is>
      </c>
      <c r="C3" s="6" t="inlineStr">
        <is>
          <t>URL</t>
        </is>
      </c>
      <c r="D3" s="6" t="inlineStr">
        <is>
          <t>Notes</t>
        </is>
      </c>
      <c r="E3" s="2" t="n"/>
      <c r="F3" s="2" t="n"/>
      <c r="G3" s="2" t="n"/>
      <c r="H3" s="2" t="n"/>
    </row>
    <row r="4" ht="42" customHeight="1">
      <c r="A4" s="20" t="inlineStr">
        <is>
          <t>S1</t>
        </is>
      </c>
      <c r="B4" s="20" t="inlineStr">
        <is>
          <t>Starbucks Fiscal 2025 Annual Report PDF</t>
        </is>
      </c>
      <c r="C4" s="21" t="inlineStr">
        <is>
          <t>https://s203.q4cdn.com/326826266/files/doc_financials/2025/ar/Starbucks-Corporation_2025-Annual-Report-Web-Ready.pdf</t>
        </is>
      </c>
      <c r="D4" s="20" t="inlineStr">
        <is>
          <t>Consolidated revenues, operating expenses, operating income, net earnings, segment and business description.</t>
        </is>
      </c>
      <c r="E4" s="2" t="n"/>
      <c r="F4" s="2" t="n"/>
      <c r="G4" s="2" t="n"/>
      <c r="H4" s="2" t="n"/>
    </row>
    <row r="5" ht="42" customHeight="1">
      <c r="A5" s="20" t="inlineStr">
        <is>
          <t>S2</t>
        </is>
      </c>
      <c r="B5" s="20" t="inlineStr">
        <is>
          <t>Starbucks Investor Relations - Annual Reports</t>
        </is>
      </c>
      <c r="C5" s="21" t="inlineStr">
        <is>
          <t>https://investor.starbucks.com/financials/annual-reports/</t>
        </is>
      </c>
      <c r="D5" s="20" t="inlineStr">
        <is>
          <t>Official page for Starbucks annual reports.</t>
        </is>
      </c>
      <c r="E5" s="2" t="n"/>
      <c r="F5" s="2" t="n"/>
      <c r="G5" s="2" t="n"/>
      <c r="H5" s="2" t="n"/>
    </row>
    <row r="6" ht="42" customHeight="1">
      <c r="A6" s="20" t="inlineStr">
        <is>
          <t>S3</t>
        </is>
      </c>
      <c r="B6" s="20" t="inlineStr">
        <is>
          <t>Starbucks SEC Filing Details - Form 10-K</t>
        </is>
      </c>
      <c r="C6" s="21" t="inlineStr">
        <is>
          <t>https://investor.starbucks.com/financials/sec-filings/sec-filings-details/default.aspx?FilingId=18927461</t>
        </is>
      </c>
      <c r="D6" s="20" t="inlineStr">
        <is>
          <t>Official 10-K filing page dated 2025-11-14 with PDF, Excel, and XBRL downloads.</t>
        </is>
      </c>
      <c r="E6" s="2" t="n"/>
      <c r="F6" s="2" t="n"/>
      <c r="G6" s="2" t="n"/>
      <c r="H6" s="2" t="n"/>
    </row>
  </sheetData>
  <mergeCells count="2">
    <mergeCell ref="A2:H2"/>
    <mergeCell ref="A1:H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2026-05-15T17:50:56Z</dcterms:created>
  <dcterms:modified xmlns:dcterms="http://purl.org/dc/terms/" xmlns:xsi="http://www.w3.org/2001/XMLSchema-instance" xsi:type="dcterms:W3CDTF">2026-05-15T17:50:56Z</dcterms:modified>
</cp:coreProperties>
</file>